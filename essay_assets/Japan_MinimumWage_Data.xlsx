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Wage_NonRegular" sheetId="1" state="visible" r:id="rId1"/>
    <sheet xmlns:r="http://schemas.openxmlformats.org/officeDocument/2006/relationships" name="Prefectural_2024" sheetId="2" state="visible" r:id="rId2"/>
    <sheet xmlns:r="http://schemas.openxmlformats.org/officeDocument/2006/relationships" name="Elasticities" sheetId="3" state="visible" r:id="rId3"/>
    <sheet xmlns:r="http://schemas.openxmlformats.org/officeDocument/2006/relationships" name="Prefecture_Corre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B63"/>
      <sz val="14"/>
    </font>
    <font>
      <i val="1"/>
      <color rgb="007F8C8D"/>
      <sz val="9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3B6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Minimum Wage (¥/hour), 2005-2025</a:t>
            </a:r>
          </a:p>
        </rich>
      </tx>
    </title>
    <plotArea>
      <lineChart>
        <grouping val="standard"/>
        <ser>
          <idx val="0"/>
          <order val="0"/>
          <tx>
            <strRef>
              <f>'MinWage_NonRegular'!B4</f>
            </strRef>
          </tx>
          <spPr>
            <a:ln xmlns:a="http://schemas.openxmlformats.org/drawingml/2006/main" w="28000">
              <a:solidFill>
                <a:srgbClr val="1F3B6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'MinWage_NonRegular'!$A$5:$A$25</f>
            </numRef>
          </cat>
          <val>
            <numRef>
              <f>'MinWage_NonRegular'!$B$5:$B$25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¥/hour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Non-Regular Share (%), 2005-2023</a:t>
            </a:r>
          </a:p>
        </rich>
      </tx>
    </title>
    <plotArea>
      <lineChart>
        <grouping val="standard"/>
        <ser>
          <idx val="0"/>
          <order val="0"/>
          <tx>
            <strRef>
              <f>'MinWage_NonRegular'!D4</f>
            </strRef>
          </tx>
          <spPr>
            <a:ln xmlns:a="http://schemas.openxmlformats.org/drawingml/2006/main" w="28000">
              <a:solidFill>
                <a:srgbClr val="2A9D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'MinWage_NonRegular'!$A$5:$A$23</f>
            </numRef>
          </cat>
          <val>
            <numRef>
              <f>'MinWage_NonRegular'!$D$5:$D$23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Minimum Wage by Prefecture, 2024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'Prefectural_2024'!B4</f>
            </strRef>
          </tx>
          <spPr>
            <a:solidFill xmlns:a="http://schemas.openxmlformats.org/drawingml/2006/main">
              <a:srgbClr val="2E6DA4"/>
            </a:solidFill>
            <a:ln xmlns:a="http://schemas.openxmlformats.org/drawingml/2006/main">
              <a:prstDash val="solid"/>
            </a:ln>
          </spPr>
          <cat>
            <numRef>
              <f>'Prefectural_2024'!$A$5:$A$20</f>
            </numRef>
          </cat>
          <val>
            <numRef>
              <f>'Prefectural_2024'!$B$5:$B$20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Prefecture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¥/hour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Employment Elasticity by Study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'Elasticities'!C4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prstDash val="solid"/>
            </a:ln>
          </spPr>
          <cat>
            <numRef>
              <f>'Elasticities'!$A$5:$A$9</f>
            </numRef>
          </cat>
          <val>
            <numRef>
              <f>'Elasticities'!$C$5:$C$9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Elasticity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Min Wage (2024) vs Non-Regular Share (2022), 47 Prefectures</a:t>
            </a:r>
          </a:p>
        </rich>
      </tx>
    </title>
    <plotArea>
      <scatterChart>
        <ser>
          <idx val="0"/>
          <order val="0"/>
          <tx>
            <v>Prefectures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'Prefecture_Correlation'!$B$5:$B$51</f>
            </numRef>
          </xVal>
          <yVal>
            <numRef>
              <f>'Prefecture_Correlation'!$D$5:$D$51</f>
            </numRef>
          </yVal>
        </ser>
        <axId val="10"/>
        <axId val="20"/>
      </scatterChart>
      <valAx>
        <axId val="10"/>
        <scaling>
          <orientation val="minMax"/>
          <max val="1180"/>
          <min val="94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Minimum wage 2024 (¥/hour)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6"/>
          <min val="26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Non-regular share 2022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22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3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7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22" customWidth="1" min="4" max="4"/>
  </cols>
  <sheetData>
    <row r="1">
      <c r="A1" s="1" t="inlineStr">
        <is>
          <t>Japan: Minimum Wage and Non-Regular Employment Share, 2005-2025</t>
        </is>
      </c>
    </row>
    <row r="2">
      <c r="A2" s="2" t="inlineStr">
        <is>
          <t>Sources: MHLW Regional Minimum Wage Survey; Statistics Bureau, Labour Force Survey (Detailed Tabulation).</t>
        </is>
      </c>
    </row>
    <row r="4">
      <c r="A4" s="3" t="inlineStr">
        <is>
          <t>Year</t>
        </is>
      </c>
      <c r="B4" s="3" t="inlineStr">
        <is>
          <t>Minimum wage (¥/hr)</t>
        </is>
      </c>
      <c r="C4" s="3" t="inlineStr">
        <is>
          <t>YoY change (%)</t>
        </is>
      </c>
      <c r="D4" s="3" t="inlineStr">
        <is>
          <t>Non-regular share (%)</t>
        </is>
      </c>
    </row>
    <row r="5">
      <c r="A5" s="4" t="n">
        <v>2005</v>
      </c>
      <c r="B5" s="4" t="n">
        <v>668</v>
      </c>
      <c r="C5" s="4" t="inlineStr"/>
      <c r="D5" s="4" t="n">
        <v>32.6</v>
      </c>
    </row>
    <row r="6">
      <c r="A6" s="4" t="n">
        <v>2006</v>
      </c>
      <c r="B6" s="4" t="n">
        <v>673</v>
      </c>
      <c r="C6" s="4" t="n">
        <v>0.7</v>
      </c>
      <c r="D6" s="4" t="n">
        <v>33</v>
      </c>
    </row>
    <row r="7">
      <c r="A7" s="4" t="n">
        <v>2007</v>
      </c>
      <c r="B7" s="4" t="n">
        <v>687</v>
      </c>
      <c r="C7" s="4" t="n">
        <v>2.1</v>
      </c>
      <c r="D7" s="4" t="n">
        <v>33.5</v>
      </c>
    </row>
    <row r="8">
      <c r="A8" s="4" t="n">
        <v>2008</v>
      </c>
      <c r="B8" s="4" t="n">
        <v>703</v>
      </c>
      <c r="C8" s="4" t="n">
        <v>2.3</v>
      </c>
      <c r="D8" s="4" t="n">
        <v>34.1</v>
      </c>
    </row>
    <row r="9">
      <c r="A9" s="4" t="n">
        <v>2009</v>
      </c>
      <c r="B9" s="4" t="n">
        <v>713</v>
      </c>
      <c r="C9" s="4" t="n">
        <v>1.4</v>
      </c>
      <c r="D9" s="4" t="n">
        <v>33.7</v>
      </c>
    </row>
    <row r="10">
      <c r="A10" s="4" t="n">
        <v>2010</v>
      </c>
      <c r="B10" s="4" t="n">
        <v>730</v>
      </c>
      <c r="C10" s="4" t="n">
        <v>2.4</v>
      </c>
      <c r="D10" s="4" t="n">
        <v>34.4</v>
      </c>
    </row>
    <row r="11">
      <c r="A11" s="4" t="n">
        <v>2011</v>
      </c>
      <c r="B11" s="4" t="n">
        <v>737</v>
      </c>
      <c r="C11" s="4" t="n">
        <v>1</v>
      </c>
      <c r="D11" s="4" t="n">
        <v>35.1</v>
      </c>
    </row>
    <row r="12">
      <c r="A12" s="4" t="n">
        <v>2012</v>
      </c>
      <c r="B12" s="4" t="n">
        <v>749</v>
      </c>
      <c r="C12" s="4" t="n">
        <v>1.6</v>
      </c>
      <c r="D12" s="4" t="n">
        <v>35.2</v>
      </c>
    </row>
    <row r="13">
      <c r="A13" s="4" t="n">
        <v>2013</v>
      </c>
      <c r="B13" s="4" t="n">
        <v>764</v>
      </c>
      <c r="C13" s="4" t="n">
        <v>2</v>
      </c>
      <c r="D13" s="4" t="n">
        <v>36.7</v>
      </c>
    </row>
    <row r="14">
      <c r="A14" s="4" t="n">
        <v>2014</v>
      </c>
      <c r="B14" s="4" t="n">
        <v>780</v>
      </c>
      <c r="C14" s="4" t="n">
        <v>2.1</v>
      </c>
      <c r="D14" s="4" t="n">
        <v>37.4</v>
      </c>
    </row>
    <row r="15">
      <c r="A15" s="4" t="n">
        <v>2015</v>
      </c>
      <c r="B15" s="4" t="n">
        <v>798</v>
      </c>
      <c r="C15" s="4" t="n">
        <v>2.3</v>
      </c>
      <c r="D15" s="4" t="n">
        <v>37.5</v>
      </c>
    </row>
    <row r="16">
      <c r="A16" s="4" t="n">
        <v>2016</v>
      </c>
      <c r="B16" s="4" t="n">
        <v>823</v>
      </c>
      <c r="C16" s="4" t="n">
        <v>3.1</v>
      </c>
      <c r="D16" s="4" t="n">
        <v>37.5</v>
      </c>
    </row>
    <row r="17">
      <c r="A17" s="4" t="n">
        <v>2017</v>
      </c>
      <c r="B17" s="4" t="n">
        <v>848</v>
      </c>
      <c r="C17" s="4" t="n">
        <v>3</v>
      </c>
      <c r="D17" s="4" t="n">
        <v>37.3</v>
      </c>
    </row>
    <row r="18">
      <c r="A18" s="4" t="n">
        <v>2018</v>
      </c>
      <c r="B18" s="4" t="n">
        <v>874</v>
      </c>
      <c r="C18" s="4" t="n">
        <v>3.1</v>
      </c>
      <c r="D18" s="4" t="n">
        <v>38.2</v>
      </c>
    </row>
    <row r="19">
      <c r="A19" s="4" t="n">
        <v>2019</v>
      </c>
      <c r="B19" s="4" t="n">
        <v>901</v>
      </c>
      <c r="C19" s="4" t="n">
        <v>3.1</v>
      </c>
      <c r="D19" s="4" t="n">
        <v>38.3</v>
      </c>
    </row>
    <row r="20">
      <c r="A20" s="4" t="n">
        <v>2020</v>
      </c>
      <c r="B20" s="4" t="n">
        <v>902</v>
      </c>
      <c r="C20" s="4" t="n">
        <v>0.1</v>
      </c>
      <c r="D20" s="4" t="n">
        <v>37.2</v>
      </c>
    </row>
    <row r="21">
      <c r="A21" s="4" t="n">
        <v>2021</v>
      </c>
      <c r="B21" s="4" t="n">
        <v>930</v>
      </c>
      <c r="C21" s="4" t="n">
        <v>3.1</v>
      </c>
      <c r="D21" s="4" t="n">
        <v>36.7</v>
      </c>
    </row>
    <row r="22">
      <c r="A22" s="4" t="n">
        <v>2022</v>
      </c>
      <c r="B22" s="4" t="n">
        <v>961</v>
      </c>
      <c r="C22" s="4" t="n">
        <v>3.3</v>
      </c>
      <c r="D22" s="4" t="n">
        <v>36.9</v>
      </c>
    </row>
    <row r="23">
      <c r="A23" s="4" t="n">
        <v>2023</v>
      </c>
      <c r="B23" s="4" t="n">
        <v>1004</v>
      </c>
      <c r="C23" s="4" t="n">
        <v>4.5</v>
      </c>
      <c r="D23" s="4" t="n">
        <v>37.1</v>
      </c>
    </row>
    <row r="24">
      <c r="A24" s="4" t="n">
        <v>2024</v>
      </c>
      <c r="B24" s="4" t="n">
        <v>1055</v>
      </c>
      <c r="C24" s="4" t="n">
        <v>5.1</v>
      </c>
      <c r="D24" s="4" t="inlineStr"/>
    </row>
    <row r="25">
      <c r="A25" s="4" t="n">
        <v>2025</v>
      </c>
      <c r="B25" s="4" t="n">
        <v>1121</v>
      </c>
      <c r="C25" s="4" t="n">
        <v>6.3</v>
      </c>
      <c r="D25" s="4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</cols>
  <sheetData>
    <row r="1">
      <c r="A1" s="1" t="inlineStr">
        <is>
          <t>Hourly Minimum Wage by Prefecture, 2024 (selected)</t>
        </is>
      </c>
    </row>
    <row r="2">
      <c r="A2" s="2" t="inlineStr">
        <is>
          <t>Source: MHLW, October 2024 revision. National weighted average = ¥1,055.</t>
        </is>
      </c>
    </row>
    <row r="4">
      <c r="A4" s="3" t="inlineStr">
        <is>
          <t>Prefecture</t>
        </is>
      </c>
      <c r="B4" s="3" t="inlineStr">
        <is>
          <t>Minimum wage (¥/hr)</t>
        </is>
      </c>
    </row>
    <row r="5">
      <c r="A5" s="5" t="inlineStr">
        <is>
          <t>Tokyo</t>
        </is>
      </c>
      <c r="B5" s="5" t="n">
        <v>1163</v>
      </c>
    </row>
    <row r="6">
      <c r="A6" s="5" t="inlineStr">
        <is>
          <t>Kanagawa</t>
        </is>
      </c>
      <c r="B6" s="5" t="n">
        <v>1162</v>
      </c>
    </row>
    <row r="7">
      <c r="A7" s="5" t="inlineStr">
        <is>
          <t>Osaka</t>
        </is>
      </c>
      <c r="B7" s="5" t="n">
        <v>1114</v>
      </c>
    </row>
    <row r="8">
      <c r="A8" s="5" t="inlineStr">
        <is>
          <t>Saitama</t>
        </is>
      </c>
      <c r="B8" s="5" t="n">
        <v>1078</v>
      </c>
    </row>
    <row r="9">
      <c r="A9" s="5" t="inlineStr">
        <is>
          <t>Aichi</t>
        </is>
      </c>
      <c r="B9" s="5" t="n">
        <v>1077</v>
      </c>
    </row>
    <row r="10">
      <c r="A10" s="5" t="inlineStr">
        <is>
          <t>Chiba</t>
        </is>
      </c>
      <c r="B10" s="5" t="n">
        <v>1076</v>
      </c>
    </row>
    <row r="11">
      <c r="A11" s="5" t="inlineStr">
        <is>
          <t>Kyoto</t>
        </is>
      </c>
      <c r="B11" s="5" t="n">
        <v>1058</v>
      </c>
    </row>
    <row r="12">
      <c r="A12" s="5" t="inlineStr">
        <is>
          <t>Hyogo</t>
        </is>
      </c>
      <c r="B12" s="5" t="n">
        <v>1052</v>
      </c>
    </row>
    <row r="13">
      <c r="A13" s="5" t="inlineStr">
        <is>
          <t>Hiroshima</t>
        </is>
      </c>
      <c r="B13" s="5" t="n">
        <v>1020</v>
      </c>
    </row>
    <row r="14">
      <c r="A14" s="5" t="inlineStr">
        <is>
          <t>Hokkaido</t>
        </is>
      </c>
      <c r="B14" s="5" t="n">
        <v>1010</v>
      </c>
    </row>
    <row r="15">
      <c r="A15" s="5" t="inlineStr">
        <is>
          <t>Fukuoka</t>
        </is>
      </c>
      <c r="B15" s="5" t="n">
        <v>992</v>
      </c>
    </row>
    <row r="16">
      <c r="A16" s="5" t="inlineStr">
        <is>
          <t>Miyagi</t>
        </is>
      </c>
      <c r="B16" s="5" t="n">
        <v>973</v>
      </c>
    </row>
    <row r="17">
      <c r="A17" s="5" t="inlineStr">
        <is>
          <t>Aomori</t>
        </is>
      </c>
      <c r="B17" s="5" t="n">
        <v>953</v>
      </c>
    </row>
    <row r="18">
      <c r="A18" s="5" t="inlineStr">
        <is>
          <t>Iwate</t>
        </is>
      </c>
      <c r="B18" s="5" t="n">
        <v>952</v>
      </c>
    </row>
    <row r="19">
      <c r="A19" s="5" t="inlineStr">
        <is>
          <t>Okinawa</t>
        </is>
      </c>
      <c r="B19" s="5" t="n">
        <v>952</v>
      </c>
    </row>
    <row r="20">
      <c r="A20" s="5" t="inlineStr">
        <is>
          <t>Akita</t>
        </is>
      </c>
      <c r="B20" s="5" t="n">
        <v>951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2" customWidth="1" min="3" max="3"/>
  </cols>
  <sheetData>
    <row r="1">
      <c r="A1" s="1" t="inlineStr">
        <is>
          <t>Estimated Employment Elasticities of the Minimum Wage</t>
        </is>
      </c>
    </row>
    <row r="2">
      <c r="A2" s="2" t="inlineStr">
        <is>
          <t>Elasticity = % change in employment per 1% increase in the minimum wage.</t>
        </is>
      </c>
    </row>
    <row r="4">
      <c r="A4" s="3" t="inlineStr">
        <is>
          <t>Study</t>
        </is>
      </c>
      <c r="B4" s="3" t="inlineStr">
        <is>
          <t>Group / setting</t>
        </is>
      </c>
      <c r="C4" s="3" t="inlineStr">
        <is>
          <t>Elasticity</t>
        </is>
      </c>
    </row>
    <row r="5">
      <c r="A5" s="5" t="inlineStr">
        <is>
          <t>Kawaguchi &amp; Mori (2021)</t>
        </is>
      </c>
      <c r="B5" s="5" t="inlineStr">
        <is>
          <t>Young less-educated men, Japan</t>
        </is>
      </c>
      <c r="C5" s="5" t="n">
        <v>-1.2</v>
      </c>
    </row>
    <row r="6">
      <c r="A6" s="5" t="inlineStr">
        <is>
          <t>Abe (2011)</t>
        </is>
      </c>
      <c r="B6" s="5" t="inlineStr">
        <is>
          <t>Teenagers, Japan</t>
        </is>
      </c>
      <c r="C6" s="5" t="n">
        <v>-0.4</v>
      </c>
    </row>
    <row r="7">
      <c r="A7" s="5" t="inlineStr">
        <is>
          <t>This study (expected)</t>
        </is>
      </c>
      <c r="B7" s="5" t="inlineStr">
        <is>
          <t>Japan aggregate</t>
        </is>
      </c>
      <c r="C7" s="5" t="n">
        <v>-0.3</v>
      </c>
    </row>
    <row r="8">
      <c r="A8" s="5" t="inlineStr">
        <is>
          <t>Neumark &amp; Wascher (2000)</t>
        </is>
      </c>
      <c r="B8" s="5" t="inlineStr">
        <is>
          <t>US teenagers</t>
        </is>
      </c>
      <c r="C8" s="5" t="n">
        <v>-0.15</v>
      </c>
    </row>
    <row r="9">
      <c r="A9" s="5" t="inlineStr">
        <is>
          <t>Dube, Lester &amp; Reich (2010)</t>
        </is>
      </c>
      <c r="B9" s="5" t="inlineStr">
        <is>
          <t>US, contiguous border counties</t>
        </is>
      </c>
      <c r="C9" s="5" t="n">
        <v>-0.02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24" customWidth="1" min="4" max="4"/>
  </cols>
  <sheetData>
    <row r="1">
      <c r="A1" s="1" t="inlineStr">
        <is>
          <t>Minimum Wage vs. Non-Regular Employment, All 47 Prefectures</t>
        </is>
      </c>
    </row>
    <row r="2">
      <c r="A2" s="2" t="inlineStr">
        <is>
          <t>Sources: MHLW FY2025 minimum-wage table (2024 &amp; 2025); 2022 Employment Status Survey, Table 2-3 (non-regular share of all workers).</t>
        </is>
      </c>
    </row>
    <row r="4">
      <c r="A4" s="3" t="inlineStr">
        <is>
          <t>Prefecture</t>
        </is>
      </c>
      <c r="B4" s="3" t="inlineStr">
        <is>
          <t>Min wage 2024 (¥)</t>
        </is>
      </c>
      <c r="C4" s="3" t="inlineStr">
        <is>
          <t>Min wage 2025 (¥)</t>
        </is>
      </c>
      <c r="D4" s="3" t="inlineStr">
        <is>
          <t>Non-regular share 2022 (%)</t>
        </is>
      </c>
      <c r="F4" s="6" t="inlineStr">
        <is>
          <t>Pearson r (2024 wage vs non-reg):</t>
        </is>
      </c>
      <c r="I4">
        <f>CORREL(B5:B51,D5:D51)</f>
        <v/>
      </c>
    </row>
    <row r="5">
      <c r="A5" s="5" t="inlineStr">
        <is>
          <t>Hokkaido</t>
        </is>
      </c>
      <c r="B5" s="5" t="n">
        <v>1010</v>
      </c>
      <c r="C5" s="5" t="n">
        <v>1075</v>
      </c>
      <c r="D5" s="5" t="n">
        <v>34.3</v>
      </c>
      <c r="F5" s="6" t="inlineStr">
        <is>
          <t>R-squared:</t>
        </is>
      </c>
      <c r="I5">
        <f>I4^2</f>
        <v/>
      </c>
    </row>
    <row r="6">
      <c r="A6" s="5" t="inlineStr">
        <is>
          <t>Aomori</t>
        </is>
      </c>
      <c r="B6" s="5" t="n">
        <v>953</v>
      </c>
      <c r="C6" s="5" t="n">
        <v>1029</v>
      </c>
      <c r="D6" s="5" t="n">
        <v>29.1</v>
      </c>
    </row>
    <row r="7">
      <c r="A7" s="5" t="inlineStr">
        <is>
          <t>Iwate</t>
        </is>
      </c>
      <c r="B7" s="5" t="n">
        <v>952</v>
      </c>
      <c r="C7" s="5" t="n">
        <v>1031</v>
      </c>
      <c r="D7" s="5" t="n">
        <v>29.7</v>
      </c>
    </row>
    <row r="8">
      <c r="A8" s="5" t="inlineStr">
        <is>
          <t>Miyagi</t>
        </is>
      </c>
      <c r="B8" s="5" t="n">
        <v>973</v>
      </c>
      <c r="C8" s="5" t="n">
        <v>1038</v>
      </c>
      <c r="D8" s="5" t="n">
        <v>30.3</v>
      </c>
    </row>
    <row r="9">
      <c r="A9" s="5" t="inlineStr">
        <is>
          <t>Akita</t>
        </is>
      </c>
      <c r="B9" s="5" t="n">
        <v>951</v>
      </c>
      <c r="C9" s="5" t="n">
        <v>1031</v>
      </c>
      <c r="D9" s="5" t="n">
        <v>28.8</v>
      </c>
    </row>
    <row r="10">
      <c r="A10" s="5" t="inlineStr">
        <is>
          <t>Yamagata</t>
        </is>
      </c>
      <c r="B10" s="5" t="n">
        <v>955</v>
      </c>
      <c r="C10" s="5" t="n">
        <v>1032</v>
      </c>
      <c r="D10" s="5" t="n">
        <v>26.8</v>
      </c>
    </row>
    <row r="11">
      <c r="A11" s="5" t="inlineStr">
        <is>
          <t>Fukushima</t>
        </is>
      </c>
      <c r="B11" s="5" t="n">
        <v>955</v>
      </c>
      <c r="C11" s="5" t="n">
        <v>1033</v>
      </c>
      <c r="D11" s="5" t="n">
        <v>27.8</v>
      </c>
    </row>
    <row r="12">
      <c r="A12" s="5" t="inlineStr">
        <is>
          <t>Ibaraki</t>
        </is>
      </c>
      <c r="B12" s="5" t="n">
        <v>1005</v>
      </c>
      <c r="C12" s="5" t="n">
        <v>1074</v>
      </c>
      <c r="D12" s="5" t="n">
        <v>31.8</v>
      </c>
    </row>
    <row r="13">
      <c r="A13" s="5" t="inlineStr">
        <is>
          <t>Tochigi</t>
        </is>
      </c>
      <c r="B13" s="5" t="n">
        <v>1004</v>
      </c>
      <c r="C13" s="5" t="n">
        <v>1068</v>
      </c>
      <c r="D13" s="5" t="n">
        <v>31</v>
      </c>
    </row>
    <row r="14">
      <c r="A14" s="5" t="inlineStr">
        <is>
          <t>Gunma</t>
        </is>
      </c>
      <c r="B14" s="5" t="n">
        <v>985</v>
      </c>
      <c r="C14" s="5" t="n">
        <v>1063</v>
      </c>
      <c r="D14" s="5" t="n">
        <v>32.2</v>
      </c>
    </row>
    <row r="15">
      <c r="A15" s="5" t="inlineStr">
        <is>
          <t>Saitama</t>
        </is>
      </c>
      <c r="B15" s="5" t="n">
        <v>1078</v>
      </c>
      <c r="C15" s="5" t="n">
        <v>1141</v>
      </c>
      <c r="D15" s="5" t="n">
        <v>33.5</v>
      </c>
    </row>
    <row r="16">
      <c r="A16" s="5" t="inlineStr">
        <is>
          <t>Chiba</t>
        </is>
      </c>
      <c r="B16" s="5" t="n">
        <v>1076</v>
      </c>
      <c r="C16" s="5" t="n">
        <v>1140</v>
      </c>
      <c r="D16" s="5" t="n">
        <v>32.4</v>
      </c>
    </row>
    <row r="17">
      <c r="A17" s="5" t="inlineStr">
        <is>
          <t>Tokyo</t>
        </is>
      </c>
      <c r="B17" s="5" t="n">
        <v>1163</v>
      </c>
      <c r="C17" s="5" t="n">
        <v>1226</v>
      </c>
      <c r="D17" s="5" t="n">
        <v>28</v>
      </c>
    </row>
    <row r="18">
      <c r="A18" s="5" t="inlineStr">
        <is>
          <t>Kanagawa</t>
        </is>
      </c>
      <c r="B18" s="5" t="n">
        <v>1162</v>
      </c>
      <c r="C18" s="5" t="n">
        <v>1225</v>
      </c>
      <c r="D18" s="5" t="n">
        <v>32.2</v>
      </c>
    </row>
    <row r="19">
      <c r="A19" s="5" t="inlineStr">
        <is>
          <t>Niigata</t>
        </is>
      </c>
      <c r="B19" s="5" t="n">
        <v>985</v>
      </c>
      <c r="C19" s="5" t="n">
        <v>1050</v>
      </c>
      <c r="D19" s="5" t="n">
        <v>29.3</v>
      </c>
    </row>
    <row r="20">
      <c r="A20" s="5" t="inlineStr">
        <is>
          <t>Toyama</t>
        </is>
      </c>
      <c r="B20" s="5" t="n">
        <v>998</v>
      </c>
      <c r="C20" s="5" t="n">
        <v>1062</v>
      </c>
      <c r="D20" s="5" t="n">
        <v>27.7</v>
      </c>
    </row>
    <row r="21">
      <c r="A21" s="5" t="inlineStr">
        <is>
          <t>Ishikawa</t>
        </is>
      </c>
      <c r="B21" s="5" t="n">
        <v>984</v>
      </c>
      <c r="C21" s="5" t="n">
        <v>1054</v>
      </c>
      <c r="D21" s="5" t="n">
        <v>29.2</v>
      </c>
    </row>
    <row r="22">
      <c r="A22" s="5" t="inlineStr">
        <is>
          <t>Fukui</t>
        </is>
      </c>
      <c r="B22" s="5" t="n">
        <v>984</v>
      </c>
      <c r="C22" s="5" t="n">
        <v>1053</v>
      </c>
      <c r="D22" s="5" t="n">
        <v>28.1</v>
      </c>
    </row>
    <row r="23">
      <c r="A23" s="5" t="inlineStr">
        <is>
          <t>Yamanashi</t>
        </is>
      </c>
      <c r="B23" s="5" t="n">
        <v>988</v>
      </c>
      <c r="C23" s="5" t="n">
        <v>1052</v>
      </c>
      <c r="D23" s="5" t="n">
        <v>31.4</v>
      </c>
    </row>
    <row r="24">
      <c r="A24" s="5" t="inlineStr">
        <is>
          <t>Nagano</t>
        </is>
      </c>
      <c r="B24" s="5" t="n">
        <v>998</v>
      </c>
      <c r="C24" s="5" t="n">
        <v>1061</v>
      </c>
      <c r="D24" s="5" t="n">
        <v>30</v>
      </c>
    </row>
    <row r="25">
      <c r="A25" s="5" t="inlineStr">
        <is>
          <t>Gifu</t>
        </is>
      </c>
      <c r="B25" s="5" t="n">
        <v>1001</v>
      </c>
      <c r="C25" s="5" t="n">
        <v>1065</v>
      </c>
      <c r="D25" s="5" t="n">
        <v>32.7</v>
      </c>
    </row>
    <row r="26">
      <c r="A26" s="5" t="inlineStr">
        <is>
          <t>Shizuoka</t>
        </is>
      </c>
      <c r="B26" s="5" t="n">
        <v>1034</v>
      </c>
      <c r="C26" s="5" t="n">
        <v>1097</v>
      </c>
      <c r="D26" s="5" t="n">
        <v>32.4</v>
      </c>
    </row>
    <row r="27">
      <c r="A27" s="5" t="inlineStr">
        <is>
          <t>Aichi</t>
        </is>
      </c>
      <c r="B27" s="5" t="n">
        <v>1077</v>
      </c>
      <c r="C27" s="5" t="n">
        <v>1140</v>
      </c>
      <c r="D27" s="5" t="n">
        <v>32.1</v>
      </c>
    </row>
    <row r="28">
      <c r="A28" s="5" t="inlineStr">
        <is>
          <t>Mie</t>
        </is>
      </c>
      <c r="B28" s="5" t="n">
        <v>1023</v>
      </c>
      <c r="C28" s="5" t="n">
        <v>1087</v>
      </c>
      <c r="D28" s="5" t="n">
        <v>33.4</v>
      </c>
    </row>
    <row r="29">
      <c r="A29" s="5" t="inlineStr">
        <is>
          <t>Shiga</t>
        </is>
      </c>
      <c r="B29" s="5" t="n">
        <v>1017</v>
      </c>
      <c r="C29" s="5" t="n">
        <v>1080</v>
      </c>
      <c r="D29" s="5" t="n">
        <v>35</v>
      </c>
    </row>
    <row r="30">
      <c r="A30" s="5" t="inlineStr">
        <is>
          <t>Kyoto</t>
        </is>
      </c>
      <c r="B30" s="5" t="n">
        <v>1058</v>
      </c>
      <c r="C30" s="5" t="n">
        <v>1122</v>
      </c>
      <c r="D30" s="5" t="n">
        <v>34.2</v>
      </c>
    </row>
    <row r="31">
      <c r="A31" s="5" t="inlineStr">
        <is>
          <t>Osaka</t>
        </is>
      </c>
      <c r="B31" s="5" t="n">
        <v>1114</v>
      </c>
      <c r="C31" s="5" t="n">
        <v>1177</v>
      </c>
      <c r="D31" s="5" t="n">
        <v>34.1</v>
      </c>
    </row>
    <row r="32">
      <c r="A32" s="5" t="inlineStr">
        <is>
          <t>Hyogo</t>
        </is>
      </c>
      <c r="B32" s="5" t="n">
        <v>1052</v>
      </c>
      <c r="C32" s="5" t="n">
        <v>1116</v>
      </c>
      <c r="D32" s="5" t="n">
        <v>33.9</v>
      </c>
    </row>
    <row r="33">
      <c r="A33" s="5" t="inlineStr">
        <is>
          <t>Nara</t>
        </is>
      </c>
      <c r="B33" s="5" t="n">
        <v>986</v>
      </c>
      <c r="C33" s="5" t="n">
        <v>1051</v>
      </c>
      <c r="D33" s="5" t="n">
        <v>34.5</v>
      </c>
    </row>
    <row r="34">
      <c r="A34" s="5" t="inlineStr">
        <is>
          <t>Wakayama</t>
        </is>
      </c>
      <c r="B34" s="5" t="n">
        <v>980</v>
      </c>
      <c r="C34" s="5" t="n">
        <v>1045</v>
      </c>
      <c r="D34" s="5" t="n">
        <v>30.4</v>
      </c>
    </row>
    <row r="35">
      <c r="A35" s="5" t="inlineStr">
        <is>
          <t>Tottori</t>
        </is>
      </c>
      <c r="B35" s="5" t="n">
        <v>957</v>
      </c>
      <c r="C35" s="5" t="n">
        <v>1030</v>
      </c>
      <c r="D35" s="5" t="n">
        <v>29.2</v>
      </c>
    </row>
    <row r="36">
      <c r="A36" s="5" t="inlineStr">
        <is>
          <t>Shimane</t>
        </is>
      </c>
      <c r="B36" s="5" t="n">
        <v>962</v>
      </c>
      <c r="C36" s="5" t="n">
        <v>1033</v>
      </c>
      <c r="D36" s="5" t="n">
        <v>30.4</v>
      </c>
    </row>
    <row r="37">
      <c r="A37" s="5" t="inlineStr">
        <is>
          <t>Okayama</t>
        </is>
      </c>
      <c r="B37" s="5" t="n">
        <v>982</v>
      </c>
      <c r="C37" s="5" t="n">
        <v>1047</v>
      </c>
      <c r="D37" s="5" t="n">
        <v>30</v>
      </c>
    </row>
    <row r="38">
      <c r="A38" s="5" t="inlineStr">
        <is>
          <t>Hiroshima</t>
        </is>
      </c>
      <c r="B38" s="5" t="n">
        <v>1020</v>
      </c>
      <c r="C38" s="5" t="n">
        <v>1085</v>
      </c>
      <c r="D38" s="5" t="n">
        <v>31.2</v>
      </c>
    </row>
    <row r="39">
      <c r="A39" s="5" t="inlineStr">
        <is>
          <t>Yamaguchi</t>
        </is>
      </c>
      <c r="B39" s="5" t="n">
        <v>979</v>
      </c>
      <c r="C39" s="5" t="n">
        <v>1043</v>
      </c>
      <c r="D39" s="5" t="n">
        <v>30.8</v>
      </c>
    </row>
    <row r="40">
      <c r="A40" s="5" t="inlineStr">
        <is>
          <t>Tokushima</t>
        </is>
      </c>
      <c r="B40" s="5" t="n">
        <v>980</v>
      </c>
      <c r="C40" s="5" t="n">
        <v>1046</v>
      </c>
      <c r="D40" s="5" t="n">
        <v>26.6</v>
      </c>
    </row>
    <row r="41">
      <c r="A41" s="5" t="inlineStr">
        <is>
          <t>Kagawa</t>
        </is>
      </c>
      <c r="B41" s="5" t="n">
        <v>970</v>
      </c>
      <c r="C41" s="5" t="n">
        <v>1036</v>
      </c>
      <c r="D41" s="5" t="n">
        <v>28.8</v>
      </c>
    </row>
    <row r="42">
      <c r="A42" s="5" t="inlineStr">
        <is>
          <t>Ehime</t>
        </is>
      </c>
      <c r="B42" s="5" t="n">
        <v>956</v>
      </c>
      <c r="C42" s="5" t="n">
        <v>1033</v>
      </c>
      <c r="D42" s="5" t="n">
        <v>29</v>
      </c>
    </row>
    <row r="43">
      <c r="A43" s="5" t="inlineStr">
        <is>
          <t>Kochi</t>
        </is>
      </c>
      <c r="B43" s="5" t="n">
        <v>952</v>
      </c>
      <c r="C43" s="5" t="n">
        <v>1023</v>
      </c>
      <c r="D43" s="5" t="n">
        <v>28.3</v>
      </c>
    </row>
    <row r="44">
      <c r="A44" s="5" t="inlineStr">
        <is>
          <t>Fukuoka</t>
        </is>
      </c>
      <c r="B44" s="5" t="n">
        <v>992</v>
      </c>
      <c r="C44" s="5" t="n">
        <v>1057</v>
      </c>
      <c r="D44" s="5" t="n">
        <v>34.2</v>
      </c>
    </row>
    <row r="45">
      <c r="A45" s="5" t="inlineStr">
        <is>
          <t>Saga</t>
        </is>
      </c>
      <c r="B45" s="5" t="n">
        <v>956</v>
      </c>
      <c r="C45" s="5" t="n">
        <v>1030</v>
      </c>
      <c r="D45" s="5" t="n">
        <v>30.5</v>
      </c>
    </row>
    <row r="46">
      <c r="A46" s="5" t="inlineStr">
        <is>
          <t>Nagasaki</t>
        </is>
      </c>
      <c r="B46" s="5" t="n">
        <v>953</v>
      </c>
      <c r="C46" s="5" t="n">
        <v>1031</v>
      </c>
      <c r="D46" s="5" t="n">
        <v>32.2</v>
      </c>
    </row>
    <row r="47">
      <c r="A47" s="5" t="inlineStr">
        <is>
          <t>Kumamoto</t>
        </is>
      </c>
      <c r="B47" s="5" t="n">
        <v>952</v>
      </c>
      <c r="C47" s="5" t="n">
        <v>1034</v>
      </c>
      <c r="D47" s="5" t="n">
        <v>29.9</v>
      </c>
    </row>
    <row r="48">
      <c r="A48" s="5" t="inlineStr">
        <is>
          <t>Oita</t>
        </is>
      </c>
      <c r="B48" s="5" t="n">
        <v>954</v>
      </c>
      <c r="C48" s="5" t="n">
        <v>1035</v>
      </c>
      <c r="D48" s="5" t="n">
        <v>29.6</v>
      </c>
    </row>
    <row r="49">
      <c r="A49" s="5" t="inlineStr">
        <is>
          <t>Miyazaki</t>
        </is>
      </c>
      <c r="B49" s="5" t="n">
        <v>952</v>
      </c>
      <c r="C49" s="5" t="n">
        <v>1023</v>
      </c>
      <c r="D49" s="5" t="n">
        <v>30.7</v>
      </c>
    </row>
    <row r="50">
      <c r="A50" s="5" t="inlineStr">
        <is>
          <t>Kagoshima</t>
        </is>
      </c>
      <c r="B50" s="5" t="n">
        <v>953</v>
      </c>
      <c r="C50" s="5" t="n">
        <v>1026</v>
      </c>
      <c r="D50" s="5" t="n">
        <v>31.6</v>
      </c>
    </row>
    <row r="51">
      <c r="A51" s="5" t="inlineStr">
        <is>
          <t>Okinawa</t>
        </is>
      </c>
      <c r="B51" s="5" t="n">
        <v>952</v>
      </c>
      <c r="C51" s="5" t="n">
        <v>1023</v>
      </c>
      <c r="D51" s="5" t="n">
        <v>33.4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2026-06-14T09:58:45Z</dcterms:created>
  <dcterms:modified xmlns:dcterms="http://purl.org/dc/terms/" xmlns:xsi="http://www.w3.org/2001/XMLSchema-instance" xsi:type="dcterms:W3CDTF">2026-06-14T09:58:45Z</dcterms:modified>
</cp:coreProperties>
</file>